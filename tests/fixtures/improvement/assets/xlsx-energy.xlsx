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1cf0dba7a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" sheetId="1" r:id="R821e540efd7745a1"/>
    <x:sheet xmlns:r="http://schemas.openxmlformats.org/officeDocument/2006/relationships" name="预算状态" sheetId="2" r:id="R6aeac7a7aed94e38"/>
    <x:sheet xmlns:r="http://schemas.openxmlformats.org/officeDocument/2006/relationships" name="说明" sheetId="3" r:id="R291aec87275a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c7f194b8148f1" /><Relationship Type="http://schemas.openxmlformats.org/officeDocument/2006/relationships/theme" Target="/xl/theme/theme1.xml" Id="R8de0bde17e424e38" /><Relationship Type="http://schemas.openxmlformats.org/officeDocument/2006/relationships/sharedStrings" Target="/xl/sharedStrings.xml" Id="R921a8051708d4f11" /><Relationship Type="http://schemas.openxmlformats.org/officeDocument/2006/relationships/worksheet" Target="/xl/worksheets/sheet1.xml" Id="R821e540efd7745a1" /><Relationship Type="http://schemas.openxmlformats.org/officeDocument/2006/relationships/worksheet" Target="/xl/worksheets/sheet2.xml" Id="R6aeac7a7aed94e38" /><Relationship Type="http://schemas.openxmlformats.org/officeDocument/2006/relationships/worksheet" Target="/xl/worksheets/sheet3.xml" Id="R291aec87275a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28" hidden="0" customWidth="1"/>
    <ns0:col min="2" max="2" width="20" hidden="0" customWidth="1"/>
    <ns0:col min="3" max="3" width="20" hidden="0" customWidth="1"/>
    <ns0:col min="4" max="4" width="20" hidden="0" customWidth="1"/>
    <ns0:col min="5" max="5" width="20" hidden="0" customWidth="1"/>
    <ns0:col min="6" max="6" width="30" hidden="0" customWidth="1"/>
  </ns0:cols>
  <ns0:sheetData>
    <ns0:row r="1" ht="42" customHeight="1">
      <ns0:c r="A1" s="2" t="str">
        <ns0:v>微澜园区分区能耗登记</ns0:v>
      </ns0:c>
      <ns0:c r="B1" s="2"/>
      <ns0:c r="C1" s="2"/>
      <ns0:c r="D1" s="2"/>
      <ns0:c r="E1" s="2"/>
      <ns0:c r="F1" s="2"/>
    </ns0:row>
    <ns0:row r="2" ht="42" customHeight="1">
      <ns0:c r="A2" s="2" t="str">
        <ns0:v>合成数据 CC0-1.0 全部内容虚构 只用于工程评估</ns0:v>
      </ns0:c>
      <ns0:c r="B2" s="2"/>
      <ns0:c r="C2" s="2"/>
      <ns0:c r="D2" s="2"/>
      <ns0:c r="E2" s="2"/>
      <ns0:c r="F2" s="2"/>
    </ns0:row>
    <ns0:row r="3" ht="42" customHeight="1">
      <ns0:c r="A3" s="2" t="str">
        <ns0:v>分区</ns0:v>
      </ns0:c>
      <ns0:c r="B3" s="2" t="str">
        <ns0:v>2025Q3电量</ns0:v>
      </ns0:c>
      <ns0:c r="C3" s="2"/>
      <ns0:c r="D3" s="2" t="str">
        <ns0:v>2025Q3用水</ns0:v>
      </ns0:c>
      <ns0:c r="E3" s="2"/>
      <ns0:c r="F3" s="2" t="str">
        <ns0:v>口径</ns0:v>
      </ns0:c>
    </ns0:row>
    <ns0:row r="4" ht="42" customHeight="1">
      <ns0:c r="A4" s="2"/>
      <ns0:c r="B4" s="2" t="str">
        <ns0:v>购电千瓦时</ns0:v>
      </ns0:c>
      <ns0:c r="C4" s="2" t="str">
        <ns0:v>返送千瓦时</ns0:v>
      </ns0:c>
      <ns0:c r="D4" s="2" t="str">
        <ns0:v>立方米</ns0:v>
      </ns0:c>
      <ns0:c r="E4" s="2" t="str">
        <ns0:v>状态</ns0:v>
      </ns0:c>
      <ns0:c r="F4" s="2"/>
    </ns0:row>
    <ns0:row r="5" ht="42" customHeight="1">
      <ns0:c r="A5" s="2" t="str">
        <ns0:v>甲区</ns0:v>
      </ns0:c>
      <ns0:c r="B5" s="2" t="n">
        <ns0:v>18000</ns0:v>
      </ns0:c>
      <ns0:c r="C5" s="2"/>
      <ns0:c r="D5" s="2" t="n">
        <ns0:v>120</ns0:v>
      </ns0:c>
      <ns0:c r="E5" s="2" t="str">
        <ns0:v>已核</ns0:v>
      </ns0:c>
      <ns0:c r="F5" s="2" t="str">
        <ns0:v>含公共照明</ns0:v>
      </ns0:c>
    </ns0:row>
    <ns0:row r="6" ht="42" customHeight="1">
      <ns0:c r="A6" s="2" t="str">
        <ns0:v>乙区</ns0:v>
      </ns0:c>
      <ns0:c r="B6" s="2" t="n">
        <ns0:v>18000</ns0:v>
      </ns0:c>
      <ns0:c r="C6" s="2" t="n">
        <ns0:v>0</ns0:v>
      </ns0:c>
      <ns0:c r="D6" s="2"/>
      <ns0:c r="E6" s="2" t="str">
        <ns0:v>用水缺测</ns0:v>
      </ns0:c>
      <ns0:c r="F6" s="2" t="str">
        <ns0:v>水量不含施工取水</ns0:v>
      </ns0:c>
    </ns0:row>
    <ns0:row r="7" ht="42" customHeight="1">
      <ns0:c r="A7" s="2" t="str">
        <ns0:v>两区合计</ns0:v>
      </ns0:c>
      <ns0:c r="B7" s="2" t="n">
        <ns0:f>SUM(B5:B6)</ns0:f>
      </ns0:c>
      <ns0:c r="C7" s="2"/>
      <ns0:c r="D7" s="2"/>
      <ns0:c r="E7" s="2" t="str">
        <ns0:v>不重算</ns0:v>
      </ns0:c>
      <ns0:c r="F7" s="2" t="str">
        <ns0:v>公式缓存刻意缺失</ns0:v>
      </ns0:c>
    </ns0:row>
  </ns0:sheetData>
  <ns0:mergeCells>
    <ns0:mergeCell ref="A1:F1"/>
    <ns0:mergeCell ref="A2:F2"/>
    <ns0:mergeCell ref="B3:C3"/>
    <ns0:mergeCell ref="D3:E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20" hidden="0" customWidth="1"/>
  </ns0:cols>
  <ns0:sheetData>
    <ns0:row r="1" ht="42" customHeight="1">
      <ns0:c r="A1" s="2" t="str">
        <ns0:v>字段</ns0:v>
      </ns0:c>
      <ns0:c r="B1" s="2" t="str">
        <ns0:v>数值或状态</ns0:v>
      </ns0:c>
      <ns0:c r="C1" s="2" t="str">
        <ns0:v>用途</ns0:v>
      </ns0:c>
    </ns0:row>
    <ns0:row r="2" ht="42" customHeight="1">
      <ns0:c r="A2" s="2" t="str">
        <ns0:v>测试负荷千瓦</ns0:v>
      </ns0:c>
      <ns0:c r="B2" s="2" t="n">
        <ns0:v>300</ns0:v>
      </ns0:c>
      <ns0:c r="C2" s="2" t="str">
        <ns0:v>过程输入不是千瓦时</ns0:v>
      </ns0:c>
    </ns0:row>
    <ns0:row r="3" ht="42" customHeight="1">
      <ns0:c r="A3" s="2" t="str">
        <ns0:v>甲区</ns0:v>
      </ns0:c>
      <ns0:c r="B3" s="2" t="str">
        <ns0:v>已核</ns0:v>
      </ns0:c>
      <ns0:c r="C3" s="2" t="str">
        <ns0:v>购电含公共照明</ns0:v>
      </ns0:c>
    </ns0:row>
    <ns0:row r="4" ht="42" customHeight="1">
      <ns0:c r="A4" s="2" t="str">
        <ns0:v>乙区用水</ns0:v>
      </ns0:c>
      <ns0:c r="B4" s="2" t="str">
        <ns0:v>缺测</ns0:v>
      </ns0:c>
      <ns0:c r="C4" s="2" t="str">
        <ns0:v>水表更换</ns0:v>
      </ns0:c>
    </ns0:row>
    <ns0:row r="5" ht="42" customHeight="1">
      <ns0:c r="A5" s="2" t="str">
        <ns0:v>历史2024</ns0:v>
      </ns0:c>
      <ns0:c r="B5" s="2" t="str">
        <ns0:v>未提供</ns0:v>
      </ns0:c>
      <ns0:c r="C5" s="2" t="str">
        <ns0:v>不能补零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12" hidden="0" customWidth="1"/>
    <ns0:col min="2" max="2" width="105" hidden="0" customWidth="1"/>
  </ns0:cols>
  <ns0:sheetData>
    <ns0:row r="1" ht="65" customHeight="1">
      <ns0:c r="A1" s="2" t="str">
        <ns0:v>材料说明</ns0:v>
      </ns0:c>
      <ns0:c r="B1" s="2" t="str">
        <ns0:v>全部机构与数字为合成 CC0-1.0</ns0:v>
      </ns0:c>
    </ns0:row>
    <ns0:row r="2" ht="65" customHeight="1">
      <ns0:c r="A2" s="2"/>
      <ns0:c r="B2" s="2"/>
    </ns0:row>
    <ns0:row r="3" ht="65" customHeight="1">
      <ns0:c r="A3" s="2" t="str">
        <ns0:v>锚点</ns0:v>
      </ns0:c>
      <ns0:c r="B3" s="2" t="str">
        <ns0:v>完整范围说明 原文</ns0:v>
      </ns0:c>
    </ns0:row>
    <ns0:row r="4" ht="65" customHeight="1">
      <ns0:c r="A4" s="2" t="str">
        <ns0:v>F01</ns0:v>
      </ns0:c>
      <ns0:c r="B4" s="2" t="str">
        <ns0:v>虚构的微澜园区记录2025年第三季度甲区和乙区的购电与用水，电量单位千瓦时，水量单位立方米。</ns0:v>
      </ns0:c>
    </ns0:row>
    <ns0:row r="5" ht="65" customHeight="1">
      <ns0:c r="A5" s="2" t="str">
        <ns0:v>F02</ns0:v>
      </ns0:c>
      <ns0:c r="B5" s="2" t="str">
        <ns0:v>甲区购电为18000千瓦时，乙区购电为18000千瓦时；同值不代表同一对象。</ns0:v>
      </ns0:c>
    </ns0:row>
    <ns0:row r="6" ht="65" customHeight="1">
      <ns0:c r="A6" s="2" t="str">
        <ns0:v>F03</ns0:v>
      </ns0:c>
      <ns0:c r="B6" s="2" t="str">
        <ns0:v>明细表按分区与能源种类双层分组，统计表另列计量状态；两个表需按分区对应。</ns0:v>
      </ns0:c>
    </ns0:row>
    <ns0:row r="7" ht="65" customHeight="1">
      <ns0:c r="A7" s="2" t="str">
        <ns0:v>F04</ns0:v>
      </ns0:c>
      <ns0:c r="B7" s="2" t="str">
        <ns0:v>甲区用水为120立方米，乙区用水为空白，原因是水表更换期间未完整读数。</ns0:v>
      </ns0:c>
    </ns0:row>
    <ns0:row r="8" ht="65" customHeight="1">
      <ns0:c r="A8" s="2" t="str">
        <ns0:v>F05</ns0:v>
      </ns0:c>
      <ns0:c r="B8" s="2" t="str">
        <ns0:v>设备清单列出测试负荷300千瓦，这不是季度购电量，也不能直接与千瓦时比较。</ns0:v>
      </ns0:c>
    </ns0:row>
    <ns0:row r="9" ht="65" customHeight="1">
      <ns0:c r="A9" s="2" t="str">
        <ns0:v>F06</ns0:v>
      </ns0:c>
      <ns0:c r="B9" s="2" t="str">
        <ns0:v>乙区返送电为0千瓦时且已核验；乙区用水缺测不能补成0。</ns0:v>
      </ns0:c>
    </ns0:row>
    <ns0:row r="10" ht="65" customHeight="1">
      <ns0:c r="A10" s="2" t="str">
        <ns0:v>F07</ns0:v>
      </ns0:c>
      <ns0:c r="B10" s="2" t="str">
        <ns0:v>两区购电合计公式无保存缓存值，离线提取不能自行计算并冒充表内报告值。</ns0:v>
      </ns0:c>
    </ns0:row>
    <ns0:row r="11" ht="65" customHeight="1">
      <ns0:c r="A11" s="2" t="str">
        <ns0:v>F08</ns0:v>
      </ns0:c>
      <ns0:c r="B11" s="2" t="str">
        <ns0:v>附注指出购电数据包含公共照明，用水不含施工临时取水，因此两个指标的覆盖范围不同。</ns0:v>
      </ns0:c>
    </ns0:row>
    <ns0:row r="12" ht="65" customHeight="1">
      <ns0:c r="A12" s="2" t="str">
        <ns0:v>F09</ns0:v>
      </ns0:c>
      <ns0:c r="B12" s="2" t="str">
        <ns0:v>工作簿没有2024年同期能耗，也没有电费单价。</ns0:v>
      </ns0:c>
    </ns0:row>
    <ns0:row r="13" ht="65" customHeight="1">
      <ns0:c r="A13" s="2" t="str">
        <ns0:v>F10</ns0:v>
      </ns0:c>
      <ns0:c r="B13" s="2" t="str">
        <ns0:v>状态为待复核的项目不能在摘要中写成已审计。</ns0:v>
      </ns0:c>
    </ns0:row>
  </ns0:sheetData>
  <ns0:pageMargins left="0.7" right="0.7" top="0.75" bottom="0.75" header="0.3" footer="0.3"/>
</ns0:worksheet>
</file>